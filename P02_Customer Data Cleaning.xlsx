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inal_Data" sheetId="1" r:id="rId5"/>
    <sheet state="visible" name="Working_Data" sheetId="2" r:id="rId6"/>
    <sheet state="visible" name="Issue_Log" sheetId="3" r:id="rId7"/>
    <sheet state="visible" name="Data_Quality_Summary" sheetId="4" r:id="rId8"/>
  </sheets>
  <definedNames/>
  <calcPr/>
</workbook>
</file>

<file path=xl/sharedStrings.xml><?xml version="1.0" encoding="utf-8"?>
<sst xmlns="http://schemas.openxmlformats.org/spreadsheetml/2006/main" count="152" uniqueCount="75">
  <si>
    <t>Customer_ID</t>
  </si>
  <si>
    <t>Full_Name</t>
  </si>
  <si>
    <t>Email</t>
  </si>
  <si>
    <t>Phone</t>
  </si>
  <si>
    <t>Issue_Type</t>
  </si>
  <si>
    <t>City</t>
  </si>
  <si>
    <t>Action_Required</t>
  </si>
  <si>
    <t>Status</t>
  </si>
  <si>
    <t>C001</t>
  </si>
  <si>
    <t>john smith</t>
  </si>
  <si>
    <t>Clean_Name</t>
  </si>
  <si>
    <t>Total_Open_Issues</t>
  </si>
  <si>
    <t>john.smith@example.com</t>
  </si>
  <si>
    <t>Formatted_Name</t>
  </si>
  <si>
    <t>Missing_Phone_Count</t>
  </si>
  <si>
    <t>Email_Check</t>
  </si>
  <si>
    <t>istanbul</t>
  </si>
  <si>
    <t>Resolved_Issues</t>
  </si>
  <si>
    <t>Active</t>
  </si>
  <si>
    <t>Sugested_Email</t>
  </si>
  <si>
    <t>C003</t>
  </si>
  <si>
    <t>Phone_Check</t>
  </si>
  <si>
    <t>C002</t>
  </si>
  <si>
    <t>Missing Phone</t>
  </si>
  <si>
    <t>MARY JOHNSON</t>
  </si>
  <si>
    <t>Request missing phone number from client</t>
  </si>
  <si>
    <t>Duplicate_Check</t>
  </si>
  <si>
    <t>Open</t>
  </si>
  <si>
    <t>Data_Quality_Summary</t>
  </si>
  <si>
    <t>mary.johnsonexample.com</t>
  </si>
  <si>
    <t>Clean_City</t>
  </si>
  <si>
    <t>Istanbul_Count</t>
  </si>
  <si>
    <t>Izmir_Count</t>
  </si>
  <si>
    <t>Status_Check</t>
  </si>
  <si>
    <t>Missing_Status_Count</t>
  </si>
  <si>
    <t>Total_Customers</t>
  </si>
  <si>
    <t>Unique_Customers</t>
  </si>
  <si>
    <t>Duplicate_Records</t>
  </si>
  <si>
    <t>Ankara</t>
  </si>
  <si>
    <t>Ahmet Yılmaz</t>
  </si>
  <si>
    <t>ahmet.yilmaz@example.com</t>
  </si>
  <si>
    <t>İSTANBUL</t>
  </si>
  <si>
    <t>Inactive</t>
  </si>
  <si>
    <t>C009</t>
  </si>
  <si>
    <t>Missing_Phones</t>
  </si>
  <si>
    <t>C004</t>
  </si>
  <si>
    <t>Ayşe Demir</t>
  </si>
  <si>
    <t>ayse.demir@example.com</t>
  </si>
  <si>
    <t>izmir</t>
  </si>
  <si>
    <t>C005</t>
  </si>
  <si>
    <t>Duplicate Customer ID</t>
  </si>
  <si>
    <t>Peter Brown</t>
  </si>
  <si>
    <t>Ask client to confirm whether both records belong to the same customer and which email is correct.</t>
  </si>
  <si>
    <t>peter.brown@example.com</t>
  </si>
  <si>
    <t>Bursa</t>
  </si>
  <si>
    <t>C007</t>
  </si>
  <si>
    <t>peter.brown2@example.com</t>
  </si>
  <si>
    <t>Missing Status</t>
  </si>
  <si>
    <t>Ask client to confirm the meaning of Status and provide the correct value for C007.</t>
  </si>
  <si>
    <t>ELIF KAYA</t>
  </si>
  <si>
    <t>Missing_Status</t>
  </si>
  <si>
    <t>elif.kaya@example.com</t>
  </si>
  <si>
    <t>ankara</t>
  </si>
  <si>
    <t>C008</t>
  </si>
  <si>
    <t>Mehmet  Arslan</t>
  </si>
  <si>
    <t>mehmet.arslan@example.com</t>
  </si>
  <si>
    <t>İzmir</t>
  </si>
  <si>
    <t>Sarah Wilson</t>
  </si>
  <si>
    <t>sarah.wilsonexample.com</t>
  </si>
  <si>
    <t>Invalid_Emails</t>
  </si>
  <si>
    <t>Open_Issues</t>
  </si>
  <si>
    <t>Antalya</t>
  </si>
  <si>
    <t>C010</t>
  </si>
  <si>
    <t>Ali Veli</t>
  </si>
  <si>
    <t>ali.veli@example.com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</si>
</sst>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1F1F1F"/>
      <name val="&quot;Google Sans&quot;"/>
    </font>
    <font>
      <b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1" fillId="0" fontId="3" numFmtId="0" xfId="0" applyAlignment="1" applyBorder="1" applyFont="1">
      <alignment readingOrder="0"/>
    </xf>
    <xf borderId="0" fillId="0" fontId="1" numFmtId="0" xfId="0" applyFont="1"/>
    <xf borderId="1" fillId="0" fontId="1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2"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ry.johnsonexample.com" TargetMode="External"/><Relationship Id="rId2" Type="http://schemas.openxmlformats.org/officeDocument/2006/relationships/hyperlink" Target="http://sarah.wilsonexample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mary.johnsonexample.com" TargetMode="External"/><Relationship Id="rId2" Type="http://schemas.openxmlformats.org/officeDocument/2006/relationships/hyperlink" Target="http://sarah.wilsonexample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>
      <c r="A2" s="1" t="s">
        <v>8</v>
      </c>
      <c r="B2" s="1" t="s">
        <v>9</v>
      </c>
      <c r="C2" s="1" t="s">
        <v>12</v>
      </c>
      <c r="D2" s="1">
        <v>5.551234567E9</v>
      </c>
      <c r="E2" s="1" t="s">
        <v>16</v>
      </c>
      <c r="F2" s="1" t="s">
        <v>18</v>
      </c>
    </row>
    <row r="3">
      <c r="A3" s="1" t="s">
        <v>22</v>
      </c>
      <c r="B3" s="1" t="s">
        <v>24</v>
      </c>
      <c r="C3" s="6" t="s">
        <v>29</v>
      </c>
      <c r="D3" s="1">
        <v>5.552345678E9</v>
      </c>
      <c r="E3" s="1" t="s">
        <v>38</v>
      </c>
      <c r="F3" s="1" t="s">
        <v>18</v>
      </c>
    </row>
    <row r="4">
      <c r="A4" s="1" t="s">
        <v>20</v>
      </c>
      <c r="B4" s="1" t="s">
        <v>39</v>
      </c>
      <c r="C4" s="1" t="s">
        <v>40</v>
      </c>
      <c r="E4" s="1" t="s">
        <v>41</v>
      </c>
      <c r="F4" s="1" t="s">
        <v>42</v>
      </c>
    </row>
    <row r="5">
      <c r="A5" s="1" t="s">
        <v>45</v>
      </c>
      <c r="B5" s="1" t="s">
        <v>46</v>
      </c>
      <c r="C5" s="1" t="s">
        <v>47</v>
      </c>
      <c r="D5" s="1">
        <v>5.553456789E9</v>
      </c>
      <c r="E5" s="1" t="s">
        <v>48</v>
      </c>
      <c r="F5" s="1" t="s">
        <v>18</v>
      </c>
    </row>
    <row r="6">
      <c r="A6" s="1" t="s">
        <v>49</v>
      </c>
      <c r="B6" s="1" t="s">
        <v>51</v>
      </c>
      <c r="C6" s="1" t="s">
        <v>53</v>
      </c>
      <c r="D6" s="1">
        <v>5.55456789E9</v>
      </c>
      <c r="E6" s="1" t="s">
        <v>54</v>
      </c>
      <c r="F6" s="1" t="s">
        <v>18</v>
      </c>
    </row>
    <row r="7">
      <c r="A7" s="1" t="s">
        <v>49</v>
      </c>
      <c r="B7" s="1" t="s">
        <v>51</v>
      </c>
      <c r="C7" s="1" t="s">
        <v>56</v>
      </c>
      <c r="D7" s="1">
        <v>5.55456789E9</v>
      </c>
      <c r="E7" s="1" t="s">
        <v>54</v>
      </c>
      <c r="F7" s="1" t="s">
        <v>18</v>
      </c>
    </row>
    <row r="8">
      <c r="A8" s="1" t="s">
        <v>55</v>
      </c>
      <c r="B8" s="1" t="s">
        <v>59</v>
      </c>
      <c r="C8" s="1" t="s">
        <v>61</v>
      </c>
      <c r="D8" s="1">
        <v>5.555678901E9</v>
      </c>
      <c r="E8" s="1" t="s">
        <v>62</v>
      </c>
    </row>
    <row r="9">
      <c r="A9" s="1" t="s">
        <v>63</v>
      </c>
      <c r="B9" s="1" t="s">
        <v>64</v>
      </c>
      <c r="C9" s="1" t="s">
        <v>65</v>
      </c>
      <c r="D9" s="1">
        <v>5.556789012E9</v>
      </c>
      <c r="E9" s="1" t="s">
        <v>66</v>
      </c>
      <c r="F9" s="1" t="s">
        <v>42</v>
      </c>
    </row>
    <row r="10">
      <c r="A10" s="1" t="s">
        <v>43</v>
      </c>
      <c r="B10" s="1" t="s">
        <v>67</v>
      </c>
      <c r="C10" s="6" t="s">
        <v>68</v>
      </c>
      <c r="E10" s="1" t="s">
        <v>71</v>
      </c>
      <c r="F10" s="1" t="s">
        <v>18</v>
      </c>
    </row>
    <row r="11">
      <c r="A11" s="1" t="s">
        <v>72</v>
      </c>
      <c r="B11" s="1" t="s">
        <v>73</v>
      </c>
      <c r="C11" s="1" t="s">
        <v>74</v>
      </c>
      <c r="D11" s="1">
        <v>5.557890123E9</v>
      </c>
      <c r="E11" s="1" t="s">
        <v>16</v>
      </c>
      <c r="F11" s="1" t="s">
        <v>18</v>
      </c>
    </row>
  </sheetData>
  <hyperlinks>
    <hyperlink r:id="rId1" ref="C3"/>
    <hyperlink r:id="rId2" ref="C10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10</v>
      </c>
      <c r="H1" s="1" t="s">
        <v>13</v>
      </c>
      <c r="I1" s="1" t="s">
        <v>15</v>
      </c>
      <c r="J1" s="1" t="s">
        <v>19</v>
      </c>
      <c r="K1" s="1" t="s">
        <v>21</v>
      </c>
      <c r="M1" s="1" t="s">
        <v>26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</row>
    <row r="2">
      <c r="A2" s="1" t="s">
        <v>8</v>
      </c>
      <c r="B2" s="1" t="s">
        <v>9</v>
      </c>
      <c r="C2" s="1" t="s">
        <v>12</v>
      </c>
      <c r="D2" s="1">
        <v>5.551234567E9</v>
      </c>
      <c r="E2" s="1" t="s">
        <v>16</v>
      </c>
      <c r="F2" s="1" t="s">
        <v>18</v>
      </c>
      <c r="G2" s="4" t="str">
        <f t="shared" ref="G2:G11" si="1">TRIM(B2)</f>
        <v>john smith</v>
      </c>
      <c r="H2" s="4" t="str">
        <f t="shared" ref="H2:H11" si="2">PROPER(TRIM(B2))</f>
        <v>John Smith</v>
      </c>
      <c r="I2" s="4" t="str">
        <f t="shared" ref="I2:I11" si="3">IF(COUNTIF(C2,"*@*")&gt;0,"OK","CHECK")</f>
        <v>OK</v>
      </c>
      <c r="J2" s="4" t="str">
        <f t="shared" ref="J2:J11" si="4">IF(I2="CHECK",SUBSTITUTE(C2,"example.com","@example.com"),C2)</f>
        <v>john.smith@example.com</v>
      </c>
      <c r="K2" s="4" t="str">
        <f t="shared" ref="K2:K11" si="5">IF(D2="","MISSING","OK")</f>
        <v>OK</v>
      </c>
      <c r="L2" s="4">
        <f>COUNTIF(K2:K11,"MISSING")</f>
        <v>2</v>
      </c>
      <c r="M2" s="4" t="str">
        <f t="shared" ref="M2:M11" si="6">IF(COUNTIF($A$2:$A$11,A2)&gt;1,"DUPLICATE","OK")</f>
        <v>OK</v>
      </c>
      <c r="N2" s="4">
        <f>COUNTIF(M2:M11,"DUPLICATE")</f>
        <v>2</v>
      </c>
      <c r="O2" s="4" t="str">
        <f t="shared" ref="O2:O11" si="7">SUBSTITUTE(SUBSTITUTE(PROPER(E2),"Istanbul","İstanbul"),"Izmir","İzmir")</f>
        <v>İstanbul</v>
      </c>
      <c r="P2" s="4">
        <f>COUNTIF(O2:O11,"İstanbul")</f>
        <v>3</v>
      </c>
      <c r="Q2" s="4">
        <f>COUNTIF(O2:O11,"İzmir")</f>
        <v>2</v>
      </c>
      <c r="R2" s="4" t="str">
        <f t="shared" ref="R2:R11" si="8">IF(F2="","MISSING","OK")</f>
        <v>OK</v>
      </c>
      <c r="S2" s="4">
        <f>COUNTIF(R2:R11,"MISSING")</f>
        <v>1</v>
      </c>
    </row>
    <row r="3">
      <c r="A3" s="1" t="s">
        <v>22</v>
      </c>
      <c r="B3" s="1" t="s">
        <v>24</v>
      </c>
      <c r="C3" s="6" t="s">
        <v>29</v>
      </c>
      <c r="D3" s="1">
        <v>5.552345678E9</v>
      </c>
      <c r="E3" s="1" t="s">
        <v>38</v>
      </c>
      <c r="F3" s="1" t="s">
        <v>18</v>
      </c>
      <c r="G3" s="4" t="str">
        <f t="shared" si="1"/>
        <v>MARY JOHNSON</v>
      </c>
      <c r="H3" s="4" t="str">
        <f t="shared" si="2"/>
        <v>Mary Johnson</v>
      </c>
      <c r="I3" s="4" t="str">
        <f t="shared" si="3"/>
        <v>CHECK</v>
      </c>
      <c r="J3" s="4" t="str">
        <f t="shared" si="4"/>
        <v>mary.johnson@example.com</v>
      </c>
      <c r="K3" s="4" t="str">
        <f t="shared" si="5"/>
        <v>OK</v>
      </c>
      <c r="M3" s="4" t="str">
        <f t="shared" si="6"/>
        <v>OK</v>
      </c>
      <c r="O3" s="4" t="str">
        <f t="shared" si="7"/>
        <v>Ankara</v>
      </c>
      <c r="R3" s="4" t="str">
        <f t="shared" si="8"/>
        <v>OK</v>
      </c>
    </row>
    <row r="4">
      <c r="A4" s="1" t="s">
        <v>20</v>
      </c>
      <c r="B4" s="1" t="s">
        <v>39</v>
      </c>
      <c r="C4" s="1" t="s">
        <v>40</v>
      </c>
      <c r="E4" s="1" t="s">
        <v>41</v>
      </c>
      <c r="F4" s="1" t="s">
        <v>42</v>
      </c>
      <c r="G4" s="4" t="str">
        <f t="shared" si="1"/>
        <v>Ahmet Yılmaz</v>
      </c>
      <c r="H4" s="4" t="str">
        <f t="shared" si="2"/>
        <v>Ahmet Yılmaz</v>
      </c>
      <c r="I4" s="4" t="str">
        <f t="shared" si="3"/>
        <v>OK</v>
      </c>
      <c r="J4" s="4" t="str">
        <f t="shared" si="4"/>
        <v>ahmet.yilmaz@example.com</v>
      </c>
      <c r="K4" s="4" t="str">
        <f t="shared" si="5"/>
        <v>MISSING</v>
      </c>
      <c r="M4" s="4" t="str">
        <f t="shared" si="6"/>
        <v>OK</v>
      </c>
      <c r="O4" s="4" t="str">
        <f t="shared" si="7"/>
        <v>İstanbul</v>
      </c>
      <c r="R4" s="4" t="str">
        <f t="shared" si="8"/>
        <v>OK</v>
      </c>
    </row>
    <row r="5">
      <c r="A5" s="1" t="s">
        <v>45</v>
      </c>
      <c r="B5" s="1" t="s">
        <v>46</v>
      </c>
      <c r="C5" s="1" t="s">
        <v>47</v>
      </c>
      <c r="D5" s="1">
        <v>5.553456789E9</v>
      </c>
      <c r="E5" s="1" t="s">
        <v>48</v>
      </c>
      <c r="F5" s="1" t="s">
        <v>18</v>
      </c>
      <c r="G5" s="4" t="str">
        <f t="shared" si="1"/>
        <v>Ayşe Demir</v>
      </c>
      <c r="H5" s="4" t="str">
        <f t="shared" si="2"/>
        <v>Ayşe Demir</v>
      </c>
      <c r="I5" s="4" t="str">
        <f t="shared" si="3"/>
        <v>OK</v>
      </c>
      <c r="J5" s="4" t="str">
        <f t="shared" si="4"/>
        <v>ayse.demir@example.com</v>
      </c>
      <c r="K5" s="4" t="str">
        <f t="shared" si="5"/>
        <v>OK</v>
      </c>
      <c r="M5" s="4" t="str">
        <f t="shared" si="6"/>
        <v>OK</v>
      </c>
      <c r="O5" s="4" t="str">
        <f t="shared" si="7"/>
        <v>İzmir</v>
      </c>
      <c r="R5" s="4" t="str">
        <f t="shared" si="8"/>
        <v>OK</v>
      </c>
    </row>
    <row r="6">
      <c r="A6" s="1" t="s">
        <v>49</v>
      </c>
      <c r="B6" s="1" t="s">
        <v>51</v>
      </c>
      <c r="C6" s="1" t="s">
        <v>53</v>
      </c>
      <c r="D6" s="1">
        <v>5.55456789E9</v>
      </c>
      <c r="E6" s="1" t="s">
        <v>54</v>
      </c>
      <c r="F6" s="1" t="s">
        <v>18</v>
      </c>
      <c r="G6" s="4" t="str">
        <f t="shared" si="1"/>
        <v>Peter Brown</v>
      </c>
      <c r="H6" s="4" t="str">
        <f t="shared" si="2"/>
        <v>Peter Brown</v>
      </c>
      <c r="I6" s="4" t="str">
        <f t="shared" si="3"/>
        <v>OK</v>
      </c>
      <c r="J6" s="4" t="str">
        <f t="shared" si="4"/>
        <v>peter.brown@example.com</v>
      </c>
      <c r="K6" s="4" t="str">
        <f t="shared" si="5"/>
        <v>OK</v>
      </c>
      <c r="M6" s="4" t="str">
        <f t="shared" si="6"/>
        <v>DUPLICATE</v>
      </c>
      <c r="O6" s="4" t="str">
        <f t="shared" si="7"/>
        <v>Bursa</v>
      </c>
      <c r="R6" s="4" t="str">
        <f t="shared" si="8"/>
        <v>OK</v>
      </c>
    </row>
    <row r="7">
      <c r="A7" s="1" t="s">
        <v>49</v>
      </c>
      <c r="B7" s="1" t="s">
        <v>51</v>
      </c>
      <c r="C7" s="1" t="s">
        <v>56</v>
      </c>
      <c r="D7" s="1">
        <v>5.55456789E9</v>
      </c>
      <c r="E7" s="1" t="s">
        <v>54</v>
      </c>
      <c r="F7" s="1" t="s">
        <v>18</v>
      </c>
      <c r="G7" s="4" t="str">
        <f t="shared" si="1"/>
        <v>Peter Brown</v>
      </c>
      <c r="H7" s="4" t="str">
        <f t="shared" si="2"/>
        <v>Peter Brown</v>
      </c>
      <c r="I7" s="4" t="str">
        <f t="shared" si="3"/>
        <v>OK</v>
      </c>
      <c r="J7" s="4" t="str">
        <f t="shared" si="4"/>
        <v>peter.brown2@example.com</v>
      </c>
      <c r="K7" s="4" t="str">
        <f t="shared" si="5"/>
        <v>OK</v>
      </c>
      <c r="M7" s="4" t="str">
        <f t="shared" si="6"/>
        <v>DUPLICATE</v>
      </c>
      <c r="O7" s="4" t="str">
        <f t="shared" si="7"/>
        <v>Bursa</v>
      </c>
      <c r="R7" s="4" t="str">
        <f t="shared" si="8"/>
        <v>OK</v>
      </c>
    </row>
    <row r="8">
      <c r="A8" s="1" t="s">
        <v>55</v>
      </c>
      <c r="B8" s="1" t="s">
        <v>59</v>
      </c>
      <c r="C8" s="1" t="s">
        <v>61</v>
      </c>
      <c r="D8" s="1">
        <v>5.555678901E9</v>
      </c>
      <c r="E8" s="1" t="s">
        <v>62</v>
      </c>
      <c r="G8" s="4" t="str">
        <f t="shared" si="1"/>
        <v>ELIF KAYA</v>
      </c>
      <c r="H8" s="4" t="str">
        <f t="shared" si="2"/>
        <v>Elif Kaya</v>
      </c>
      <c r="I8" s="4" t="str">
        <f t="shared" si="3"/>
        <v>OK</v>
      </c>
      <c r="J8" s="4" t="str">
        <f t="shared" si="4"/>
        <v>elif.kaya@example.com</v>
      </c>
      <c r="K8" s="4" t="str">
        <f t="shared" si="5"/>
        <v>OK</v>
      </c>
      <c r="M8" s="4" t="str">
        <f t="shared" si="6"/>
        <v>OK</v>
      </c>
      <c r="O8" s="4" t="str">
        <f t="shared" si="7"/>
        <v>Ankara</v>
      </c>
      <c r="R8" s="4" t="str">
        <f t="shared" si="8"/>
        <v>MISSING</v>
      </c>
    </row>
    <row r="9">
      <c r="A9" s="1" t="s">
        <v>63</v>
      </c>
      <c r="B9" s="1" t="s">
        <v>64</v>
      </c>
      <c r="C9" s="1" t="s">
        <v>65</v>
      </c>
      <c r="D9" s="1">
        <v>5.556789012E9</v>
      </c>
      <c r="E9" s="1" t="s">
        <v>66</v>
      </c>
      <c r="F9" s="1" t="s">
        <v>42</v>
      </c>
      <c r="G9" s="4" t="str">
        <f t="shared" si="1"/>
        <v>Mehmet Arslan</v>
      </c>
      <c r="H9" s="4" t="str">
        <f t="shared" si="2"/>
        <v>Mehmet Arslan</v>
      </c>
      <c r="I9" s="4" t="str">
        <f t="shared" si="3"/>
        <v>OK</v>
      </c>
      <c r="J9" s="4" t="str">
        <f t="shared" si="4"/>
        <v>mehmet.arslan@example.com</v>
      </c>
      <c r="K9" s="4" t="str">
        <f t="shared" si="5"/>
        <v>OK</v>
      </c>
      <c r="M9" s="4" t="str">
        <f t="shared" si="6"/>
        <v>OK</v>
      </c>
      <c r="O9" s="4" t="str">
        <f t="shared" si="7"/>
        <v>İzmir</v>
      </c>
      <c r="R9" s="4" t="str">
        <f t="shared" si="8"/>
        <v>OK</v>
      </c>
    </row>
    <row r="10">
      <c r="A10" s="1" t="s">
        <v>43</v>
      </c>
      <c r="B10" s="1" t="s">
        <v>67</v>
      </c>
      <c r="C10" s="6" t="s">
        <v>68</v>
      </c>
      <c r="E10" s="1" t="s">
        <v>71</v>
      </c>
      <c r="F10" s="1" t="s">
        <v>18</v>
      </c>
      <c r="G10" s="4" t="str">
        <f t="shared" si="1"/>
        <v>Sarah Wilson</v>
      </c>
      <c r="H10" s="4" t="str">
        <f t="shared" si="2"/>
        <v>Sarah Wilson</v>
      </c>
      <c r="I10" s="4" t="str">
        <f t="shared" si="3"/>
        <v>CHECK</v>
      </c>
      <c r="J10" s="4" t="str">
        <f t="shared" si="4"/>
        <v>sarah.wilson@example.com</v>
      </c>
      <c r="K10" s="4" t="str">
        <f t="shared" si="5"/>
        <v>MISSING</v>
      </c>
      <c r="M10" s="4" t="str">
        <f t="shared" si="6"/>
        <v>OK</v>
      </c>
      <c r="O10" s="4" t="str">
        <f t="shared" si="7"/>
        <v>Antalya</v>
      </c>
      <c r="R10" s="4" t="str">
        <f t="shared" si="8"/>
        <v>OK</v>
      </c>
    </row>
    <row r="11">
      <c r="A11" s="1" t="s">
        <v>72</v>
      </c>
      <c r="B11" s="1" t="s">
        <v>73</v>
      </c>
      <c r="C11" s="1" t="s">
        <v>74</v>
      </c>
      <c r="D11" s="1">
        <v>5.557890123E9</v>
      </c>
      <c r="E11" s="1" t="s">
        <v>16</v>
      </c>
      <c r="F11" s="1" t="s">
        <v>18</v>
      </c>
      <c r="G11" s="4" t="str">
        <f t="shared" si="1"/>
        <v>Ali Veli</v>
      </c>
      <c r="H11" s="4" t="str">
        <f t="shared" si="2"/>
        <v>Ali Veli</v>
      </c>
      <c r="I11" s="4" t="str">
        <f t="shared" si="3"/>
        <v>OK</v>
      </c>
      <c r="J11" s="4" t="str">
        <f t="shared" si="4"/>
        <v>ali.veli@example.com</v>
      </c>
      <c r="K11" s="4" t="str">
        <f t="shared" si="5"/>
        <v>OK</v>
      </c>
      <c r="M11" s="4" t="str">
        <f t="shared" si="6"/>
        <v>OK</v>
      </c>
      <c r="O11" s="4" t="str">
        <f t="shared" si="7"/>
        <v>İstanbul</v>
      </c>
      <c r="R11" s="4" t="str">
        <f t="shared" si="8"/>
        <v>OK</v>
      </c>
    </row>
  </sheetData>
  <hyperlinks>
    <hyperlink r:id="rId1" ref="C3"/>
    <hyperlink r:id="rId2" ref="C10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7.75"/>
    <col customWidth="1" min="3" max="3" width="74.13"/>
    <col customWidth="1" min="6" max="6" width="15.25"/>
    <col customWidth="1" min="7" max="7" width="17.75"/>
  </cols>
  <sheetData>
    <row r="1">
      <c r="A1" s="1">
        <v>0.0</v>
      </c>
      <c r="B1" s="1" t="s">
        <v>4</v>
      </c>
      <c r="C1" s="1" t="s">
        <v>6</v>
      </c>
      <c r="D1" s="1" t="s">
        <v>7</v>
      </c>
      <c r="F1" s="1" t="s">
        <v>11</v>
      </c>
      <c r="G1" s="1" t="s">
        <v>14</v>
      </c>
      <c r="H1" s="1" t="s">
        <v>17</v>
      </c>
    </row>
    <row r="2">
      <c r="A2" s="1" t="s">
        <v>20</v>
      </c>
      <c r="B2" s="1" t="s">
        <v>23</v>
      </c>
      <c r="C2" s="1" t="s">
        <v>25</v>
      </c>
      <c r="D2" s="1" t="s">
        <v>27</v>
      </c>
      <c r="F2" s="4">
        <f>COUNTIF(D2:D5,"OPEN")</f>
        <v>4</v>
      </c>
      <c r="G2" s="4">
        <f>COUNTIF(B2:B5,"Missing Phone")</f>
        <v>2</v>
      </c>
      <c r="H2" s="4">
        <f>COUNTIF(D2:D5,"Resolved")</f>
        <v>0</v>
      </c>
      <c r="J2" s="4">
        <f>COUNTIF(D2:D5,"*Open*")</f>
        <v>4</v>
      </c>
      <c r="K2" s="4" t="str">
        <f t="shared" ref="K2:K5" si="1">LEN(D2)&amp;" / "&amp;LEN(TRIM(D2))</f>
        <v>4 / 4</v>
      </c>
      <c r="L2" s="4" t="b">
        <f t="shared" ref="L2:L5" si="2">EXACT(D2,"Open")</f>
        <v>1</v>
      </c>
    </row>
    <row r="3">
      <c r="A3" s="1" t="s">
        <v>43</v>
      </c>
      <c r="B3" s="1" t="s">
        <v>23</v>
      </c>
      <c r="C3" s="1" t="s">
        <v>25</v>
      </c>
      <c r="D3" s="1" t="s">
        <v>27</v>
      </c>
      <c r="K3" s="4" t="str">
        <f t="shared" si="1"/>
        <v>4 / 4</v>
      </c>
      <c r="L3" s="4" t="b">
        <f t="shared" si="2"/>
        <v>1</v>
      </c>
    </row>
    <row r="4">
      <c r="A4" s="1" t="s">
        <v>49</v>
      </c>
      <c r="B4" s="1" t="s">
        <v>50</v>
      </c>
      <c r="C4" s="1" t="s">
        <v>52</v>
      </c>
      <c r="D4" s="1" t="s">
        <v>27</v>
      </c>
      <c r="K4" s="4" t="str">
        <f t="shared" si="1"/>
        <v>4 / 4</v>
      </c>
      <c r="L4" s="4" t="b">
        <f t="shared" si="2"/>
        <v>1</v>
      </c>
    </row>
    <row r="5">
      <c r="A5" s="1" t="s">
        <v>55</v>
      </c>
      <c r="B5" s="1" t="s">
        <v>57</v>
      </c>
      <c r="C5" s="1" t="s">
        <v>58</v>
      </c>
      <c r="D5" s="1" t="s">
        <v>27</v>
      </c>
      <c r="K5" s="4" t="str">
        <f t="shared" si="1"/>
        <v>4 / 4</v>
      </c>
      <c r="L5" s="4" t="b">
        <f t="shared" si="2"/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</cols>
  <sheetData>
    <row r="1">
      <c r="A1" s="2" t="s">
        <v>28</v>
      </c>
    </row>
    <row r="3">
      <c r="A3" s="3" t="s">
        <v>35</v>
      </c>
      <c r="B3" s="5">
        <f>COUNTA(Working_Data!A2:A11)</f>
        <v>10</v>
      </c>
    </row>
    <row r="4">
      <c r="A4" s="3" t="s">
        <v>36</v>
      </c>
      <c r="B4" s="5">
        <f>IFERROR(__xludf.DUMMYFUNCTION("COUNTUNIQUE(Working_Data!A2:A11)"),9.0)</f>
        <v>9</v>
      </c>
    </row>
    <row r="5">
      <c r="A5" s="3" t="s">
        <v>37</v>
      </c>
      <c r="B5" s="5">
        <f>COUNTIF(Working_Data!M2:M11,"DUPLICATE")</f>
        <v>2</v>
      </c>
    </row>
    <row r="6">
      <c r="A6" s="3" t="s">
        <v>44</v>
      </c>
      <c r="B6" s="7">
        <f>COUNTIF(Working_Data!K2:K11,"MISSING")</f>
        <v>2</v>
      </c>
    </row>
    <row r="7">
      <c r="A7" s="3" t="s">
        <v>60</v>
      </c>
      <c r="B7" s="5">
        <f>COUNTIF(Working_Data!R2:R11,"MISSING")</f>
        <v>1</v>
      </c>
    </row>
    <row r="8">
      <c r="A8" s="3" t="s">
        <v>69</v>
      </c>
      <c r="B8" s="5">
        <f>COUNTIF(Working_Data!I2:I11,"CHECK")</f>
        <v>2</v>
      </c>
    </row>
    <row r="9">
      <c r="A9" s="3" t="s">
        <v>70</v>
      </c>
      <c r="B9" s="5">
        <f>COUNTIF(Issue_Log!D2:D5,"Open")</f>
        <v>4</v>
      </c>
    </row>
    <row r="10">
      <c r="A10" s="3" t="s">
        <v>17</v>
      </c>
      <c r="B10" s="5">
        <f>COUNTIF(Issue_Log!D2:D5,"Resolved")</f>
        <v>0</v>
      </c>
    </row>
  </sheetData>
  <mergeCells count="1">
    <mergeCell ref="A1:B1"/>
  </mergeCells>
  <conditionalFormatting sqref="B5:B9">
    <cfRule type="cellIs" dxfId="0" priority="1" operator="greaterThan">
      <formula>0</formula>
    </cfRule>
  </conditionalFormatting>
  <conditionalFormatting sqref="B10">
    <cfRule type="cellIs" dxfId="1" priority="2" operator="greaterThan">
      <formula>0</formula>
    </cfRule>
  </conditionalFormatting>
  <drawing r:id="rId1"/>
</worksheet>
</file>